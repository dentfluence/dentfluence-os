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Ch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<sst xmlns="http://schemas.openxmlformats.org/spreadsheetml/2006/main" count="59" uniqueCount="59">
  <si>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Dentfluence — pricing &amp; FIRE plan</t>
  </si>
  <si>
    <t xml:space="preserve">All money in ₹ lakh unless marked ₹ Cr.  Edit the blue cells to run your own scenario.</t>
  </si>
  <si>
    <t xml:space="preserve">ASSUMPTIONS (edit blue)</t>
  </si>
  <si>
    <t xml:space="preserve">Elite blended price (₹ lakh / clinic / yr)</t>
  </si>
  <si>
    <t xml:space="preserve">ProConsult blended price (₹ lakh / user / yr)</t>
  </si>
  <si>
    <t xml:space="preserve">Infrastructure &amp; support (% of revenue)</t>
  </si>
  <si>
    <t xml:space="preserve">Tax (% of profit)</t>
  </si>
  <si>
    <t xml:space="preserve">Investment return (% / yr)</t>
  </si>
  <si>
    <t xml:space="preserve">Business value multiple (x ARR)</t>
  </si>
  <si>
    <t xml:space="preserve">Safe withdrawal rate</t>
  </si>
  <si>
    <t xml:space="preserve">Lean FIRE income target (₹ lakh / yr)</t>
  </si>
  <si>
    <t xml:space="preserve">Fat FIRE income target (₹ lakh / yr)</t>
  </si>
  <si>
    <t xml:space="preserve">Lean corpus target (₹ Cr)</t>
  </si>
  <si>
    <t xml:space="preserve">Fat corpus target (₹ Cr)</t>
  </si>
  <si>
    <t xml:space="preserve">YEAR-BY-YEAR PLAN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</si>
  <si>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</si>
  <si>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</si>
  <si>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</si>
  <si>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</si>
  <si>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</si>
  <si>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</si>
  <si>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</si>
  <si>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</si>
  <si>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</si>
  <si>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</si>
  <si>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Elite clinics (year-end)</t>
  </si>
  <si>
    <t xml:space="preserve">ProConsult users (year-end)</t>
  </si>
  <si>
    <t xml:space="preserve">Elite — avg active</t>
  </si>
  <si>
    <t xml:space="preserve">ProConsult — avg active</t>
  </si>
  <si>
    <t xml:space="preserve">Elite revenue</t>
  </si>
  <si>
    <t xml:space="preserve">ProConsult revenue</t>
  </si>
  <si>
    <t xml:space="preserve">Total revenue (ARR)</t>
  </si>
  <si>
    <t xml:space="preserve">Infrastructure &amp; support</t>
  </si>
  <si>
    <t xml:space="preserve">People / salaries</t>
  </si>
  <si>
    <t xml:space="preserve">Sales &amp; marketing</t>
  </si>
  <si>
    <t xml:space="preserve">Other opex</t>
  </si>
  <si>
    <t xml:space="preserve">Total costs</t>
  </si>
  <si>
    <t xml:space="preserve">EBITDA</t>
  </si>
  <si>
    <t xml:space="preserve">Tax</t>
  </si>
  <si>
    <t xml:space="preserve">Net profit</t>
  </si>
  <si>
    <t xml:space="preserve">Loan drawn</t>
  </si>
  <si>
    <t xml:space="preserve">Loan repaid</t>
  </si>
  <si>
    <t xml:space="preserve">Debt balance</t>
  </si>
  <si>
    <t xml:space="preserve">Owner draw (lifestyle)</t>
  </si>
  <si>
    <t xml:space="preserve">Investable surplus</t>
  </si>
  <si>
    <t xml:space="preserve">Liquid corpus (cumulative)</t>
  </si>
  <si>
    <t xml:space="preserve">Business value (ARR x mult)</t>
  </si>
  <si>
    <t xml:space="preserve">ARR (₹ Cr)</t>
  </si>
  <si>
    <t xml:space="preserve">Liquid corpus (₹ Cr)</t>
  </si>
  <si>
    <t xml:space="preserve">Net worth incl. business (₹ Cr)</t>
  </si>
  <si>
    <t xml:space="preserve">MILESTONES</t>
  </si>
  <si>
    <t xml:space="preserve">Debt-free?</t>
  </si>
  <si>
    <t xml:space="preserve">Lean FIRE — net-worth basis</t>
  </si>
  <si>
    <t xml:space="preserve">Lean FIRE — liquid basis</t>
  </si>
  <si>
    <t xml:space="preserve">Fat FIRE — net-worth basis</t>
  </si>
  <si>
    <t xml:space="preserve">Fat FIRE — liquid basis</t>
  </si>
  <si>
    <t xml:space="preserve">Note: early losses (2027–28) are funded by the ₹2.5 Cr loan; it is repaid 2029–30.</t>
  </si>
  <si>
    <t xml:space="preserve">Net-worth milestones count business equity (illiquid); liquid milestones count only invested cash.</t>
  </si>
  <si>
    <t xml:space="preserve">Trajectory to FIRE (₹ Cr)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</si>
</sst>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%"/>
    <numFmt numFmtId="167" formatCode="0.0\x"/>
    <numFmt numFmtId="168" formatCode="#,##0"/>
    <numFmt numFmtId="169" formatCode="#,##0.0"/>
    <numFmt numFmtId="170" formatCode="#,##0.0;\(#,##0.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D32"/>
      <name val="Arial"/>
      <family val="0"/>
      <charset val="1"/>
    </font>
    <font>
      <i val="true"/>
      <sz val="9"/>
      <color rgb="FF5C6B6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78787"/>
      <rgbColor rgb="FF9999FF"/>
      <rgbColor rgb="FFBE4B48"/>
      <rgbColor rgb="FFFFFFCC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C6B65"/>
      <rgbColor rgb="FF969696"/>
      <rgbColor rgb="FF003366"/>
      <rgbColor rgb="FF339966"/>
      <rgbColor rgb="FF0F3D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ARR · Liquid corpus · Net worth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Plan!B42</c:f>
              <c:strCache>
                <c:ptCount val="1"/>
                <c:pt idx="0">
                  <c:v>ARR (₹ Cr)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Plan!$C$17:$L$17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Plan!$C$42:$L$42</c:f>
              <c:numCache>
                <c:formatCode>#,##0.0</c:formatCode>
                <c:ptCount val="10"/>
                <c:pt idx="0">
                  <c:v>0.0335</c:v>
                </c:pt>
                <c:pt idx="1">
                  <c:v>0.4185</c:v>
                </c:pt>
                <c:pt idx="2">
                  <c:v>1.5825</c:v>
                </c:pt>
                <c:pt idx="3">
                  <c:v>3.8625</c:v>
                </c:pt>
                <c:pt idx="4">
                  <c:v>7.4025</c:v>
                </c:pt>
                <c:pt idx="5">
                  <c:v>12.0375</c:v>
                </c:pt>
                <c:pt idx="6">
                  <c:v>17.625</c:v>
                </c:pt>
                <c:pt idx="7">
                  <c:v>23.925</c:v>
                </c:pt>
                <c:pt idx="8">
                  <c:v>30.9</c:v>
                </c:pt>
                <c:pt idx="9">
                  <c:v>38.3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Plan!B43</c:f>
              <c:strCache>
                <c:ptCount val="1"/>
                <c:pt idx="0">
                  <c:v>Liquid corpus (₹ Cr)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Plan!$C$17:$L$17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Plan!$C$43:$L$43</c:f>
              <c:numCache>
                <c:formatCode>#,##0.0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3.23475</c:v>
                </c:pt>
                <c:pt idx="6">
                  <c:v>9.2080725</c:v>
                </c:pt>
                <c:pt idx="7">
                  <c:v>18.598960475</c:v>
                </c:pt>
                <c:pt idx="8">
                  <c:v>32.12634612725</c:v>
                </c:pt>
                <c:pt idx="9">
                  <c:v>50.1882442012475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Plan!B44</c:f>
              <c:strCache>
                <c:ptCount val="1"/>
                <c:pt idx="0">
                  <c:v>Net worth incl. business (₹ Cr)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Plan!$C$17:$L$17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Plan!$C$44:$L$44</c:f>
              <c:numCache>
                <c:formatCode>#,##0.0</c:formatCode>
                <c:ptCount val="10"/>
                <c:pt idx="0">
                  <c:v>0.134</c:v>
                </c:pt>
                <c:pt idx="1">
                  <c:v>-0.826</c:v>
                </c:pt>
                <c:pt idx="2">
                  <c:v>3.83</c:v>
                </c:pt>
                <c:pt idx="3">
                  <c:v>13.95</c:v>
                </c:pt>
                <c:pt idx="4">
                  <c:v>29.61</c:v>
                </c:pt>
                <c:pt idx="5">
                  <c:v>51.38475</c:v>
                </c:pt>
                <c:pt idx="6">
                  <c:v>79.7080725</c:v>
                </c:pt>
                <c:pt idx="7">
                  <c:v>114.298960475</c:v>
                </c:pt>
                <c:pt idx="8">
                  <c:v>155.72634612725</c:v>
                </c:pt>
                <c:pt idx="9">
                  <c:v>203.388244201248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81332"/>
        <c:axId val="83154262"/>
      </c:lineChart>
      <c:catAx>
        <c:axId val="18813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154262"/>
        <c:crosses val="autoZero"/>
        <c:auto val="1"/>
        <c:lblAlgn val="ctr"/>
        <c:lblOffset val="100"/>
        <c:noMultiLvlLbl val="0"/>
      </c:catAx>
      <c:valAx>
        <c:axId val="83154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813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13</xdr:col>
      <xdr:colOff>581760</xdr:colOff>
      <xdr:row>20</xdr:row>
      <xdr:rowOff>170640</xdr:rowOff>
    </xdr:to>
    <xdr:graphicFrame>
      <xdr:nvGraphicFramePr>
        <xdr:cNvPr id="1" name="Chart 1"/>
        <xdr:cNvGraphicFramePr/>
      </xdr:nvGraphicFramePr>
      <xdr:xfrm>
        <a:off x="611640" y="4107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2" min="3" style="0" width="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n">
        <v>1</v>
      </c>
    </row>
    <row r="6" customFormat="false" ht="15" hidden="false" customHeight="false" outlineLevel="0" collapsed="false">
      <c r="B6" s="5" t="s">
        <v>4</v>
      </c>
      <c r="C6" s="6" t="n">
        <v>0.085</v>
      </c>
    </row>
    <row r="7" customFormat="false" ht="15" hidden="false" customHeight="false" outlineLevel="0" collapsed="false">
      <c r="B7" s="5" t="s">
        <v>5</v>
      </c>
      <c r="C7" s="7" t="n">
        <v>0.12</v>
      </c>
    </row>
    <row r="8" customFormat="false" ht="15" hidden="false" customHeight="false" outlineLevel="0" collapsed="false">
      <c r="B8" s="5" t="s">
        <v>6</v>
      </c>
      <c r="C8" s="7" t="n">
        <v>0.25</v>
      </c>
    </row>
    <row r="9" customFormat="false" ht="15" hidden="false" customHeight="false" outlineLevel="0" collapsed="false">
      <c r="B9" s="5" t="s">
        <v>7</v>
      </c>
      <c r="C9" s="7" t="n">
        <v>0.11</v>
      </c>
    </row>
    <row r="10" customFormat="false" ht="15" hidden="false" customHeight="false" outlineLevel="0" collapsed="false">
      <c r="B10" s="5" t="s">
        <v>8</v>
      </c>
      <c r="C10" s="8" t="n">
        <v>4</v>
      </c>
    </row>
    <row r="11" customFormat="false" ht="15" hidden="false" customHeight="false" outlineLevel="0" collapsed="false">
      <c r="B11" s="5" t="s">
        <v>9</v>
      </c>
      <c r="C11" s="7" t="n">
        <v>0.04</v>
      </c>
    </row>
    <row r="12" customFormat="false" ht="15" hidden="false" customHeight="false" outlineLevel="0" collapsed="false">
      <c r="B12" s="5" t="s">
        <v>10</v>
      </c>
      <c r="C12" s="9" t="n">
        <v>54</v>
      </c>
    </row>
    <row r="13" customFormat="false" ht="15" hidden="false" customHeight="false" outlineLevel="0" collapsed="false">
      <c r="B13" s="5" t="s">
        <v>11</v>
      </c>
      <c r="C13" s="9" t="n">
        <v>100</v>
      </c>
    </row>
    <row r="14" customFormat="false" ht="15" hidden="false" customHeight="false" outlineLevel="0" collapsed="false">
      <c r="B14" s="5" t="s">
        <v>12</v>
      </c>
      <c r="C14" s="10" t="n">
        <f aca="false">$C$12/$C$11/100</f>
        <v>13.5</v>
      </c>
    </row>
    <row r="15" customFormat="false" ht="15" hidden="false" customHeight="false" outlineLevel="0" collapsed="false">
      <c r="B15" s="5" t="s">
        <v>13</v>
      </c>
      <c r="C15" s="10" t="n">
        <f aca="false">$C$13/$C$11/100</f>
        <v>25</v>
      </c>
    </row>
    <row r="17" customFormat="false" ht="15" hidden="false" customHeight="false" outlineLevel="0" collapsed="false">
      <c r="B17" s="3" t="s">
        <v>14</v>
      </c>
      <c r="C17" s="11" t="s">
        <v>15</v>
      </c>
      <c r="D17" s="11" t="s">
        <v>16</v>
      </c>
      <c r="E17" s="11" t="s">
        <v>17</v>
      </c>
      <c r="F17" s="11" t="s">
        <v>18</v>
      </c>
      <c r="G17" s="11" t="s">
        <v>19</v>
      </c>
      <c r="H17" s="11" t="s">
        <v>20</v>
      </c>
      <c r="I17" s="11" t="s">
        <v>21</v>
      </c>
      <c r="J17" s="11" t="s">
        <v>22</v>
      </c>
      <c r="K17" s="11" t="s">
        <v>23</v>
      </c>
      <c r="L17" s="11" t="s">
        <v>24</v>
      </c>
    </row>
    <row r="18" customFormat="false" ht="15" hidden="false" customHeight="false" outlineLevel="0" collapsed="false">
      <c r="B18" s="5" t="s">
        <v>25</v>
      </c>
      <c r="C18" s="9" t="n">
        <v>5</v>
      </c>
      <c r="D18" s="9" t="n">
        <v>60</v>
      </c>
      <c r="E18" s="9" t="n">
        <v>180</v>
      </c>
      <c r="F18" s="9" t="n">
        <v>380</v>
      </c>
      <c r="G18" s="9" t="n">
        <v>650</v>
      </c>
      <c r="H18" s="9" t="n">
        <v>950</v>
      </c>
      <c r="I18" s="9" t="n">
        <v>1300</v>
      </c>
      <c r="J18" s="9" t="n">
        <v>1700</v>
      </c>
      <c r="K18" s="9" t="n">
        <v>2100</v>
      </c>
      <c r="L18" s="9" t="n">
        <v>2500</v>
      </c>
    </row>
    <row r="19" customFormat="false" ht="15" hidden="false" customHeight="false" outlineLevel="0" collapsed="false">
      <c r="B19" s="5" t="s">
        <v>26</v>
      </c>
      <c r="C19" s="9" t="n">
        <v>20</v>
      </c>
      <c r="D19" s="9" t="n">
        <v>200</v>
      </c>
      <c r="E19" s="9" t="n">
        <v>700</v>
      </c>
      <c r="F19" s="9" t="n">
        <v>1800</v>
      </c>
      <c r="G19" s="9" t="n">
        <v>3500</v>
      </c>
      <c r="H19" s="9" t="n">
        <v>6000</v>
      </c>
      <c r="I19" s="9" t="n">
        <v>9000</v>
      </c>
      <c r="J19" s="9" t="n">
        <v>12000</v>
      </c>
      <c r="K19" s="9" t="n">
        <v>16000</v>
      </c>
      <c r="L19" s="9" t="n">
        <v>20000</v>
      </c>
    </row>
    <row r="20" customFormat="false" ht="15" hidden="false" customHeight="false" outlineLevel="0" collapsed="false">
      <c r="B20" s="5" t="s">
        <v>27</v>
      </c>
      <c r="C20" s="12" t="n">
        <f aca="false">(0+C18)/2</f>
        <v>2.5</v>
      </c>
      <c r="D20" s="12" t="n">
        <f aca="false">(C18+D18)/2</f>
        <v>32.5</v>
      </c>
      <c r="E20" s="12" t="n">
        <f aca="false">(D18+E18)/2</f>
        <v>120</v>
      </c>
      <c r="F20" s="12" t="n">
        <f aca="false">(E18+F18)/2</f>
        <v>280</v>
      </c>
      <c r="G20" s="12" t="n">
        <f aca="false">(F18+G18)/2</f>
        <v>515</v>
      </c>
      <c r="H20" s="12" t="n">
        <f aca="false">(G18+H18)/2</f>
        <v>800</v>
      </c>
      <c r="I20" s="12" t="n">
        <f aca="false">(H18+I18)/2</f>
        <v>1125</v>
      </c>
      <c r="J20" s="12" t="n">
        <f aca="false">(I18+J18)/2</f>
        <v>1500</v>
      </c>
      <c r="K20" s="12" t="n">
        <f aca="false">(J18+K18)/2</f>
        <v>1900</v>
      </c>
      <c r="L20" s="12" t="n">
        <f aca="false">(K18+L18)/2</f>
        <v>2300</v>
      </c>
    </row>
    <row r="21" customFormat="false" ht="15" hidden="false" customHeight="false" outlineLevel="0" collapsed="false">
      <c r="B21" s="5" t="s">
        <v>28</v>
      </c>
      <c r="C21" s="12" t="n">
        <f aca="false">(0+C19)/2</f>
        <v>10</v>
      </c>
      <c r="D21" s="12" t="n">
        <f aca="false">(C19+D19)/2</f>
        <v>110</v>
      </c>
      <c r="E21" s="12" t="n">
        <f aca="false">(D19+E19)/2</f>
        <v>450</v>
      </c>
      <c r="F21" s="12" t="n">
        <f aca="false">(E19+F19)/2</f>
        <v>1250</v>
      </c>
      <c r="G21" s="12" t="n">
        <f aca="false">(F19+G19)/2</f>
        <v>2650</v>
      </c>
      <c r="H21" s="12" t="n">
        <f aca="false">(G19+H19)/2</f>
        <v>4750</v>
      </c>
      <c r="I21" s="12" t="n">
        <f aca="false">(H19+I19)/2</f>
        <v>7500</v>
      </c>
      <c r="J21" s="12" t="n">
        <f aca="false">(I19+J19)/2</f>
        <v>10500</v>
      </c>
      <c r="K21" s="12" t="n">
        <f aca="false">(J19+K19)/2</f>
        <v>14000</v>
      </c>
      <c r="L21" s="12" t="n">
        <f aca="false">(K19+L19)/2</f>
        <v>18000</v>
      </c>
    </row>
    <row r="22" customFormat="false" ht="15" hidden="false" customHeight="false" outlineLevel="0" collapsed="false">
      <c r="B22" s="5" t="s">
        <v>29</v>
      </c>
      <c r="C22" s="10" t="n">
        <f aca="false">C20*$C$5</f>
        <v>2.5</v>
      </c>
      <c r="D22" s="10" t="n">
        <f aca="false">D20*$C$5</f>
        <v>32.5</v>
      </c>
      <c r="E22" s="10" t="n">
        <f aca="false">E20*$C$5</f>
        <v>120</v>
      </c>
      <c r="F22" s="10" t="n">
        <f aca="false">F20*$C$5</f>
        <v>280</v>
      </c>
      <c r="G22" s="10" t="n">
        <f aca="false">G20*$C$5</f>
        <v>515</v>
      </c>
      <c r="H22" s="10" t="n">
        <f aca="false">H20*$C$5</f>
        <v>800</v>
      </c>
      <c r="I22" s="10" t="n">
        <f aca="false">I20*$C$5</f>
        <v>1125</v>
      </c>
      <c r="J22" s="10" t="n">
        <f aca="false">J20*$C$5</f>
        <v>1500</v>
      </c>
      <c r="K22" s="10" t="n">
        <f aca="false">K20*$C$5</f>
        <v>1900</v>
      </c>
      <c r="L22" s="10" t="n">
        <f aca="false">L20*$C$5</f>
        <v>2300</v>
      </c>
    </row>
    <row r="23" customFormat="false" ht="15" hidden="false" customHeight="false" outlineLevel="0" collapsed="false">
      <c r="B23" s="5" t="s">
        <v>30</v>
      </c>
      <c r="C23" s="10" t="n">
        <f aca="false">C21*$C$6</f>
        <v>0.85</v>
      </c>
      <c r="D23" s="10" t="n">
        <f aca="false">D21*$C$6</f>
        <v>9.35</v>
      </c>
      <c r="E23" s="10" t="n">
        <f aca="false">E21*$C$6</f>
        <v>38.25</v>
      </c>
      <c r="F23" s="10" t="n">
        <f aca="false">F21*$C$6</f>
        <v>106.25</v>
      </c>
      <c r="G23" s="10" t="n">
        <f aca="false">G21*$C$6</f>
        <v>225.25</v>
      </c>
      <c r="H23" s="10" t="n">
        <f aca="false">H21*$C$6</f>
        <v>403.75</v>
      </c>
      <c r="I23" s="10" t="n">
        <f aca="false">I21*$C$6</f>
        <v>637.5</v>
      </c>
      <c r="J23" s="10" t="n">
        <f aca="false">J21*$C$6</f>
        <v>892.5</v>
      </c>
      <c r="K23" s="10" t="n">
        <f aca="false">K21*$C$6</f>
        <v>1190</v>
      </c>
      <c r="L23" s="10" t="n">
        <f aca="false">L21*$C$6</f>
        <v>1530</v>
      </c>
    </row>
    <row r="24" customFormat="false" ht="15" hidden="false" customHeight="false" outlineLevel="0" collapsed="false">
      <c r="B24" s="13" t="s">
        <v>31</v>
      </c>
      <c r="C24" s="14" t="n">
        <f aca="false">C22+C23</f>
        <v>3.35</v>
      </c>
      <c r="D24" s="14" t="n">
        <f aca="false">D22+D23</f>
        <v>41.85</v>
      </c>
      <c r="E24" s="14" t="n">
        <f aca="false">E22+E23</f>
        <v>158.25</v>
      </c>
      <c r="F24" s="14" t="n">
        <f aca="false">F22+F23</f>
        <v>386.25</v>
      </c>
      <c r="G24" s="14" t="n">
        <f aca="false">G22+G23</f>
        <v>740.25</v>
      </c>
      <c r="H24" s="14" t="n">
        <f aca="false">H22+H23</f>
        <v>1203.75</v>
      </c>
      <c r="I24" s="14" t="n">
        <f aca="false">I22+I23</f>
        <v>1762.5</v>
      </c>
      <c r="J24" s="14" t="n">
        <f aca="false">J22+J23</f>
        <v>2392.5</v>
      </c>
      <c r="K24" s="14" t="n">
        <f aca="false">K22+K23</f>
        <v>3090</v>
      </c>
      <c r="L24" s="14" t="n">
        <f aca="false">L22+L23</f>
        <v>3830</v>
      </c>
    </row>
    <row r="25" customFormat="false" ht="15" hidden="false" customHeight="false" outlineLevel="0" collapsed="false">
      <c r="B25" s="5" t="s">
        <v>32</v>
      </c>
      <c r="C25" s="10" t="n">
        <f aca="false">C24*$C$7</f>
        <v>0.402</v>
      </c>
      <c r="D25" s="10" t="n">
        <f aca="false">D24*$C$7</f>
        <v>5.022</v>
      </c>
      <c r="E25" s="10" t="n">
        <f aca="false">E24*$C$7</f>
        <v>18.99</v>
      </c>
      <c r="F25" s="10" t="n">
        <f aca="false">F24*$C$7</f>
        <v>46.35</v>
      </c>
      <c r="G25" s="10" t="n">
        <f aca="false">G24*$C$7</f>
        <v>88.83</v>
      </c>
      <c r="H25" s="10" t="n">
        <f aca="false">H24*$C$7</f>
        <v>144.45</v>
      </c>
      <c r="I25" s="10" t="n">
        <f aca="false">I24*$C$7</f>
        <v>211.5</v>
      </c>
      <c r="J25" s="10" t="n">
        <f aca="false">J24*$C$7</f>
        <v>287.1</v>
      </c>
      <c r="K25" s="10" t="n">
        <f aca="false">K24*$C$7</f>
        <v>370.8</v>
      </c>
      <c r="L25" s="10" t="n">
        <f aca="false">L24*$C$7</f>
        <v>459.6</v>
      </c>
    </row>
    <row r="26" customFormat="false" ht="15" hidden="false" customHeight="false" outlineLevel="0" collapsed="false">
      <c r="B26" s="5" t="s">
        <v>33</v>
      </c>
      <c r="C26" s="15" t="n">
        <v>15</v>
      </c>
      <c r="D26" s="15" t="n">
        <v>40</v>
      </c>
      <c r="E26" s="15" t="n">
        <v>75</v>
      </c>
      <c r="F26" s="15" t="n">
        <v>120</v>
      </c>
      <c r="G26" s="15" t="n">
        <v>170</v>
      </c>
      <c r="H26" s="15" t="n">
        <v>230</v>
      </c>
      <c r="I26" s="15" t="n">
        <v>300</v>
      </c>
      <c r="J26" s="15" t="n">
        <v>380</v>
      </c>
      <c r="K26" s="15" t="n">
        <v>470</v>
      </c>
      <c r="L26" s="15" t="n">
        <v>580</v>
      </c>
    </row>
    <row r="27" customFormat="false" ht="15" hidden="false" customHeight="false" outlineLevel="0" collapsed="false">
      <c r="B27" s="5" t="s">
        <v>34</v>
      </c>
      <c r="C27" s="15" t="n">
        <v>10</v>
      </c>
      <c r="D27" s="15" t="n">
        <v>35</v>
      </c>
      <c r="E27" s="15" t="n">
        <v>75</v>
      </c>
      <c r="F27" s="15" t="n">
        <v>130</v>
      </c>
      <c r="G27" s="15" t="n">
        <v>180</v>
      </c>
      <c r="H27" s="15" t="n">
        <v>230</v>
      </c>
      <c r="I27" s="15" t="n">
        <v>290</v>
      </c>
      <c r="J27" s="15" t="n">
        <v>360</v>
      </c>
      <c r="K27" s="15" t="n">
        <v>440</v>
      </c>
      <c r="L27" s="15" t="n">
        <v>540</v>
      </c>
    </row>
    <row r="28" customFormat="false" ht="15" hidden="false" customHeight="false" outlineLevel="0" collapsed="false">
      <c r="B28" s="5" t="s">
        <v>35</v>
      </c>
      <c r="C28" s="15" t="n">
        <v>6</v>
      </c>
      <c r="D28" s="15" t="n">
        <v>14</v>
      </c>
      <c r="E28" s="15" t="n">
        <v>24</v>
      </c>
      <c r="F28" s="15" t="n">
        <v>38</v>
      </c>
      <c r="G28" s="15" t="n">
        <v>55</v>
      </c>
      <c r="H28" s="15" t="n">
        <v>72</v>
      </c>
      <c r="I28" s="15" t="n">
        <v>92</v>
      </c>
      <c r="J28" s="15" t="n">
        <v>115</v>
      </c>
      <c r="K28" s="15" t="n">
        <v>145</v>
      </c>
      <c r="L28" s="15" t="n">
        <v>180</v>
      </c>
    </row>
    <row r="29" customFormat="false" ht="15" hidden="false" customHeight="false" outlineLevel="0" collapsed="false">
      <c r="B29" s="5" t="s">
        <v>36</v>
      </c>
      <c r="C29" s="10" t="n">
        <f aca="false">SUM(C25:C28)</f>
        <v>31.402</v>
      </c>
      <c r="D29" s="10" t="n">
        <f aca="false">SUM(D25:D28)</f>
        <v>94.022</v>
      </c>
      <c r="E29" s="10" t="n">
        <f aca="false">SUM(E25:E28)</f>
        <v>192.99</v>
      </c>
      <c r="F29" s="10" t="n">
        <f aca="false">SUM(F25:F28)</f>
        <v>334.35</v>
      </c>
      <c r="G29" s="10" t="n">
        <f aca="false">SUM(G25:G28)</f>
        <v>493.83</v>
      </c>
      <c r="H29" s="10" t="n">
        <f aca="false">SUM(H25:H28)</f>
        <v>676.45</v>
      </c>
      <c r="I29" s="10" t="n">
        <f aca="false">SUM(I25:I28)</f>
        <v>893.5</v>
      </c>
      <c r="J29" s="10" t="n">
        <f aca="false">SUM(J25:J28)</f>
        <v>1142.1</v>
      </c>
      <c r="K29" s="10" t="n">
        <f aca="false">SUM(K25:K28)</f>
        <v>1425.8</v>
      </c>
      <c r="L29" s="10" t="n">
        <f aca="false">SUM(L25:L28)</f>
        <v>1759.6</v>
      </c>
    </row>
    <row r="30" customFormat="false" ht="15" hidden="false" customHeight="false" outlineLevel="0" collapsed="false">
      <c r="B30" s="5" t="s">
        <v>37</v>
      </c>
      <c r="C30" s="16" t="n">
        <f aca="false">C24-C29</f>
        <v>-28.052</v>
      </c>
      <c r="D30" s="16" t="n">
        <f aca="false">D24-D29</f>
        <v>-52.172</v>
      </c>
      <c r="E30" s="16" t="n">
        <f aca="false">E24-E29</f>
        <v>-34.74</v>
      </c>
      <c r="F30" s="16" t="n">
        <f aca="false">F24-F29</f>
        <v>51.9</v>
      </c>
      <c r="G30" s="16" t="n">
        <f aca="false">G24-G29</f>
        <v>246.42</v>
      </c>
      <c r="H30" s="16" t="n">
        <f aca="false">H24-H29</f>
        <v>527.3</v>
      </c>
      <c r="I30" s="16" t="n">
        <f aca="false">I24-I29</f>
        <v>869</v>
      </c>
      <c r="J30" s="16" t="n">
        <f aca="false">J24-J29</f>
        <v>1250.4</v>
      </c>
      <c r="K30" s="16" t="n">
        <f aca="false">K24-K29</f>
        <v>1664.2</v>
      </c>
      <c r="L30" s="16" t="n">
        <f aca="false">L24-L29</f>
        <v>2070.4</v>
      </c>
    </row>
    <row r="31" customFormat="false" ht="15" hidden="false" customHeight="false" outlineLevel="0" collapsed="false">
      <c r="B31" s="5" t="s">
        <v>38</v>
      </c>
      <c r="C31" s="10" t="n">
        <f aca="false">MAX(0,C30)*$C$8</f>
        <v>0</v>
      </c>
      <c r="D31" s="10" t="n">
        <f aca="false">MAX(0,D30)*$C$8</f>
        <v>0</v>
      </c>
      <c r="E31" s="10" t="n">
        <f aca="false">MAX(0,E30)*$C$8</f>
        <v>0</v>
      </c>
      <c r="F31" s="10" t="n">
        <f aca="false">MAX(0,F30)*$C$8</f>
        <v>12.975</v>
      </c>
      <c r="G31" s="10" t="n">
        <f aca="false">MAX(0,G30)*$C$8</f>
        <v>61.605</v>
      </c>
      <c r="H31" s="10" t="n">
        <f aca="false">MAX(0,H30)*$C$8</f>
        <v>131.825</v>
      </c>
      <c r="I31" s="10" t="n">
        <f aca="false">MAX(0,I30)*$C$8</f>
        <v>217.25</v>
      </c>
      <c r="J31" s="10" t="n">
        <f aca="false">MAX(0,J30)*$C$8</f>
        <v>312.6</v>
      </c>
      <c r="K31" s="10" t="n">
        <f aca="false">MAX(0,K30)*$C$8</f>
        <v>416.05</v>
      </c>
      <c r="L31" s="10" t="n">
        <f aca="false">MAX(0,L30)*$C$8</f>
        <v>517.6</v>
      </c>
    </row>
    <row r="32" customFormat="false" ht="15" hidden="false" customHeight="false" outlineLevel="0" collapsed="false">
      <c r="B32" s="13" t="s">
        <v>39</v>
      </c>
      <c r="C32" s="17" t="n">
        <f aca="false">C30-C31</f>
        <v>-28.052</v>
      </c>
      <c r="D32" s="17" t="n">
        <f aca="false">D30-D31</f>
        <v>-52.172</v>
      </c>
      <c r="E32" s="17" t="n">
        <f aca="false">E30-E31</f>
        <v>-34.74</v>
      </c>
      <c r="F32" s="17" t="n">
        <f aca="false">F30-F31</f>
        <v>38.925</v>
      </c>
      <c r="G32" s="17" t="n">
        <f aca="false">G30-G31</f>
        <v>184.815</v>
      </c>
      <c r="H32" s="17" t="n">
        <f aca="false">H30-H31</f>
        <v>395.475</v>
      </c>
      <c r="I32" s="17" t="n">
        <f aca="false">I30-I31</f>
        <v>651.75</v>
      </c>
      <c r="J32" s="17" t="n">
        <f aca="false">J30-J31</f>
        <v>937.8</v>
      </c>
      <c r="K32" s="17" t="n">
        <f aca="false">K30-K31</f>
        <v>1248.15</v>
      </c>
      <c r="L32" s="17" t="n">
        <f aca="false">L30-L31</f>
        <v>1552.8</v>
      </c>
    </row>
    <row r="34" customFormat="false" ht="15" hidden="false" customHeight="false" outlineLevel="0" collapsed="false">
      <c r="B34" s="5" t="s">
        <v>40</v>
      </c>
      <c r="C34" s="15" t="n">
        <v>0</v>
      </c>
      <c r="D34" s="15" t="n">
        <v>250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</row>
    <row r="35" customFormat="false" ht="15" hidden="false" customHeight="false" outlineLevel="0" collapsed="false">
      <c r="B35" s="5" t="s">
        <v>41</v>
      </c>
      <c r="C35" s="15" t="n">
        <v>0</v>
      </c>
      <c r="D35" s="15" t="n">
        <v>0</v>
      </c>
      <c r="E35" s="15" t="n">
        <v>0</v>
      </c>
      <c r="F35" s="15" t="n">
        <v>100</v>
      </c>
      <c r="G35" s="15" t="n">
        <v>150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</row>
    <row r="36" customFormat="false" ht="15" hidden="false" customHeight="false" outlineLevel="0" collapsed="false">
      <c r="B36" s="5" t="s">
        <v>42</v>
      </c>
      <c r="C36" s="10" t="n">
        <f aca="false">C34-C35</f>
        <v>0</v>
      </c>
      <c r="D36" s="10" t="n">
        <f aca="false">C36+D34-D35</f>
        <v>250</v>
      </c>
      <c r="E36" s="10" t="n">
        <f aca="false">D36+E34-E35</f>
        <v>250</v>
      </c>
      <c r="F36" s="10" t="n">
        <f aca="false">E36+F34-F35</f>
        <v>150</v>
      </c>
      <c r="G36" s="10" t="n">
        <f aca="false">F36+G34-G35</f>
        <v>0</v>
      </c>
      <c r="H36" s="10" t="n">
        <f aca="false">G36+H34-H35</f>
        <v>0</v>
      </c>
      <c r="I36" s="10" t="n">
        <f aca="false">H36+I34-I35</f>
        <v>0</v>
      </c>
      <c r="J36" s="10" t="n">
        <f aca="false">I36+J34-J35</f>
        <v>0</v>
      </c>
      <c r="K36" s="10" t="n">
        <f aca="false">J36+K34-K35</f>
        <v>0</v>
      </c>
      <c r="L36" s="10" t="n">
        <f aca="false">K36+L34-L35</f>
        <v>0</v>
      </c>
    </row>
    <row r="37" customFormat="false" ht="15" hidden="false" customHeight="false" outlineLevel="0" collapsed="false">
      <c r="B37" s="5" t="s">
        <v>43</v>
      </c>
      <c r="C37" s="15" t="n">
        <v>12</v>
      </c>
      <c r="D37" s="15" t="n">
        <v>18</v>
      </c>
      <c r="E37" s="15" t="n">
        <v>30</v>
      </c>
      <c r="F37" s="15" t="n">
        <v>42</v>
      </c>
      <c r="G37" s="15" t="n">
        <v>54</v>
      </c>
      <c r="H37" s="15" t="n">
        <v>72</v>
      </c>
      <c r="I37" s="15" t="n">
        <v>90</v>
      </c>
      <c r="J37" s="15" t="n">
        <v>100</v>
      </c>
      <c r="K37" s="15" t="n">
        <v>100</v>
      </c>
      <c r="L37" s="15" t="n">
        <v>100</v>
      </c>
    </row>
    <row r="38" customFormat="false" ht="15" hidden="false" customHeight="false" outlineLevel="0" collapsed="false">
      <c r="B38" s="5" t="s">
        <v>44</v>
      </c>
      <c r="C38" s="16" t="n">
        <f aca="false">C32-C35-C37</f>
        <v>-40.052</v>
      </c>
      <c r="D38" s="16" t="n">
        <f aca="false">D32-D35-D37</f>
        <v>-70.172</v>
      </c>
      <c r="E38" s="16" t="n">
        <f aca="false">E32-E35-E37</f>
        <v>-64.74</v>
      </c>
      <c r="F38" s="16" t="n">
        <f aca="false">F32-F35-F37</f>
        <v>-103.075</v>
      </c>
      <c r="G38" s="16" t="n">
        <f aca="false">G32-G35-G37</f>
        <v>-19.185</v>
      </c>
      <c r="H38" s="16" t="n">
        <f aca="false">H32-H35-H37</f>
        <v>323.475</v>
      </c>
      <c r="I38" s="16" t="n">
        <f aca="false">I32-I35-I37</f>
        <v>561.75</v>
      </c>
      <c r="J38" s="16" t="n">
        <f aca="false">J32-J35-J37</f>
        <v>837.8</v>
      </c>
      <c r="K38" s="16" t="n">
        <f aca="false">K32-K35-K37</f>
        <v>1148.15</v>
      </c>
      <c r="L38" s="16" t="n">
        <f aca="false">L32-L35-L37</f>
        <v>1452.8</v>
      </c>
    </row>
    <row r="39" customFormat="false" ht="15" hidden="false" customHeight="false" outlineLevel="0" collapsed="false">
      <c r="B39" s="5" t="s">
        <v>45</v>
      </c>
      <c r="C39" s="10" t="n">
        <f aca="false">MAX(0,C38)</f>
        <v>0</v>
      </c>
      <c r="D39" s="10" t="n">
        <f aca="false">MAX(0,C39*(1+$C$9)+D38)</f>
        <v>0</v>
      </c>
      <c r="E39" s="10" t="n">
        <f aca="false">MAX(0,D39*(1+$C$9)+E38)</f>
        <v>0</v>
      </c>
      <c r="F39" s="10" t="n">
        <f aca="false">MAX(0,E39*(1+$C$9)+F38)</f>
        <v>0</v>
      </c>
      <c r="G39" s="10" t="n">
        <f aca="false">MAX(0,F39*(1+$C$9)+G38)</f>
        <v>0</v>
      </c>
      <c r="H39" s="10" t="n">
        <f aca="false">MAX(0,G39*(1+$C$9)+H38)</f>
        <v>323.475</v>
      </c>
      <c r="I39" s="10" t="n">
        <f aca="false">MAX(0,H39*(1+$C$9)+I38)</f>
        <v>920.80725</v>
      </c>
      <c r="J39" s="10" t="n">
        <f aca="false">MAX(0,I39*(1+$C$9)+J38)</f>
        <v>1859.8960475</v>
      </c>
      <c r="K39" s="10" t="n">
        <f aca="false">MAX(0,J39*(1+$C$9)+K38)</f>
        <v>3212.634612725</v>
      </c>
      <c r="L39" s="10" t="n">
        <f aca="false">MAX(0,K39*(1+$C$9)+L38)</f>
        <v>5018.82442012475</v>
      </c>
    </row>
    <row r="41" customFormat="false" ht="15" hidden="false" customHeight="false" outlineLevel="0" collapsed="false">
      <c r="B41" s="5" t="s">
        <v>46</v>
      </c>
      <c r="C41" s="12" t="n">
        <f aca="false">C24*$C$10</f>
        <v>13.4</v>
      </c>
      <c r="D41" s="12" t="n">
        <f aca="false">D24*$C$10</f>
        <v>167.4</v>
      </c>
      <c r="E41" s="12" t="n">
        <f aca="false">E24*$C$10</f>
        <v>633</v>
      </c>
      <c r="F41" s="12" t="n">
        <f aca="false">F24*$C$10</f>
        <v>1545</v>
      </c>
      <c r="G41" s="12" t="n">
        <f aca="false">G24*$C$10</f>
        <v>2961</v>
      </c>
      <c r="H41" s="12" t="n">
        <f aca="false">H24*$C$10</f>
        <v>4815</v>
      </c>
      <c r="I41" s="12" t="n">
        <f aca="false">I24*$C$10</f>
        <v>7050</v>
      </c>
      <c r="J41" s="12" t="n">
        <f aca="false">J24*$C$10</f>
        <v>9570</v>
      </c>
      <c r="K41" s="12" t="n">
        <f aca="false">K24*$C$10</f>
        <v>12360</v>
      </c>
      <c r="L41" s="12" t="n">
        <f aca="false">L24*$C$10</f>
        <v>15320</v>
      </c>
    </row>
    <row r="42" customFormat="false" ht="15" hidden="false" customHeight="false" outlineLevel="0" collapsed="false">
      <c r="B42" s="5" t="s">
        <v>47</v>
      </c>
      <c r="C42" s="10" t="n">
        <f aca="false">C24/100</f>
        <v>0.0335</v>
      </c>
      <c r="D42" s="10" t="n">
        <f aca="false">D24/100</f>
        <v>0.4185</v>
      </c>
      <c r="E42" s="10" t="n">
        <f aca="false">E24/100</f>
        <v>1.5825</v>
      </c>
      <c r="F42" s="10" t="n">
        <f aca="false">F24/100</f>
        <v>3.8625</v>
      </c>
      <c r="G42" s="10" t="n">
        <f aca="false">G24/100</f>
        <v>7.4025</v>
      </c>
      <c r="H42" s="10" t="n">
        <f aca="false">H24/100</f>
        <v>12.0375</v>
      </c>
      <c r="I42" s="10" t="n">
        <f aca="false">I24/100</f>
        <v>17.625</v>
      </c>
      <c r="J42" s="10" t="n">
        <f aca="false">J24/100</f>
        <v>23.925</v>
      </c>
      <c r="K42" s="10" t="n">
        <f aca="false">K24/100</f>
        <v>30.9</v>
      </c>
      <c r="L42" s="10" t="n">
        <f aca="false">L24/100</f>
        <v>38.3</v>
      </c>
    </row>
    <row r="43" customFormat="false" ht="15" hidden="false" customHeight="false" outlineLevel="0" collapsed="false">
      <c r="B43" s="18" t="s">
        <v>48</v>
      </c>
      <c r="C43" s="19" t="n">
        <f aca="false">C39/100</f>
        <v>0</v>
      </c>
      <c r="D43" s="19" t="n">
        <f aca="false">D39/100</f>
        <v>0</v>
      </c>
      <c r="E43" s="19" t="n">
        <f aca="false">E39/100</f>
        <v>0</v>
      </c>
      <c r="F43" s="19" t="n">
        <f aca="false">F39/100</f>
        <v>0</v>
      </c>
      <c r="G43" s="19" t="n">
        <f aca="false">G39/100</f>
        <v>0</v>
      </c>
      <c r="H43" s="19" t="n">
        <f aca="false">H39/100</f>
        <v>3.23475</v>
      </c>
      <c r="I43" s="19" t="n">
        <f aca="false">I39/100</f>
        <v>9.2080725</v>
      </c>
      <c r="J43" s="19" t="n">
        <f aca="false">J39/100</f>
        <v>18.598960475</v>
      </c>
      <c r="K43" s="19" t="n">
        <f aca="false">K39/100</f>
        <v>32.12634612725</v>
      </c>
      <c r="L43" s="19" t="n">
        <f aca="false">L39/100</f>
        <v>50.1882442012475</v>
      </c>
    </row>
    <row r="44" customFormat="false" ht="15" hidden="false" customHeight="false" outlineLevel="0" collapsed="false">
      <c r="B44" s="18" t="s">
        <v>49</v>
      </c>
      <c r="C44" s="19" t="n">
        <f aca="false">(C39+C41-C36)/100</f>
        <v>0.134</v>
      </c>
      <c r="D44" s="19" t="n">
        <f aca="false">(D39+D41-D36)/100</f>
        <v>-0.826</v>
      </c>
      <c r="E44" s="19" t="n">
        <f aca="false">(E39+E41-E36)/100</f>
        <v>3.83</v>
      </c>
      <c r="F44" s="19" t="n">
        <f aca="false">(F39+F41-F36)/100</f>
        <v>13.95</v>
      </c>
      <c r="G44" s="19" t="n">
        <f aca="false">(G39+G41-G36)/100</f>
        <v>29.61</v>
      </c>
      <c r="H44" s="19" t="n">
        <f aca="false">(H39+H41-H36)/100</f>
        <v>51.38475</v>
      </c>
      <c r="I44" s="19" t="n">
        <f aca="false">(I39+I41-I36)/100</f>
        <v>79.7080725</v>
      </c>
      <c r="J44" s="19" t="n">
        <f aca="false">(J39+J41-J36)/100</f>
        <v>114.298960475</v>
      </c>
      <c r="K44" s="19" t="n">
        <f aca="false">(K39+K41-K36)/100</f>
        <v>155.72634612725</v>
      </c>
      <c r="L44" s="19" t="n">
        <f aca="false">(L39+L41-L36)/100</f>
        <v>203.388244201248</v>
      </c>
    </row>
    <row r="46" customFormat="false" ht="15" hidden="false" customHeight="false" outlineLevel="0" collapsed="false">
      <c r="B46" s="3" t="s">
        <v>50</v>
      </c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false" outlineLevel="0" collapsed="false">
      <c r="B47" s="5" t="s">
        <v>51</v>
      </c>
      <c r="C47" s="20" t="str">
        <f aca="false">IF(C36&lt;=0,"YES","")</f>
        <v>YES</v>
      </c>
      <c r="D47" s="20" t="str">
        <f aca="false">IF(D36&lt;=0,"YES","")</f>
        <v/>
      </c>
      <c r="E47" s="20" t="str">
        <f aca="false">IF(E36&lt;=0,"YES","")</f>
        <v/>
      </c>
      <c r="F47" s="20" t="str">
        <f aca="false">IF(F36&lt;=0,"YES","")</f>
        <v/>
      </c>
      <c r="G47" s="20" t="str">
        <f aca="false">IF(G36&lt;=0,"YES","")</f>
        <v>YES</v>
      </c>
      <c r="H47" s="20" t="str">
        <f aca="false">IF(H36&lt;=0,"YES","")</f>
        <v>YES</v>
      </c>
      <c r="I47" s="20" t="str">
        <f aca="false">IF(I36&lt;=0,"YES","")</f>
        <v>YES</v>
      </c>
      <c r="J47" s="20" t="str">
        <f aca="false">IF(J36&lt;=0,"YES","")</f>
        <v>YES</v>
      </c>
      <c r="K47" s="20" t="str">
        <f aca="false">IF(K36&lt;=0,"YES","")</f>
        <v>YES</v>
      </c>
      <c r="L47" s="20" t="str">
        <f aca="false">IF(L36&lt;=0,"YES","")</f>
        <v>YES</v>
      </c>
    </row>
    <row r="48" customFormat="false" ht="15" hidden="false" customHeight="false" outlineLevel="0" collapsed="false">
      <c r="B48" s="5" t="s">
        <v>52</v>
      </c>
      <c r="C48" s="20" t="str">
        <f aca="false">IF(C44&gt;=$C$14,"YES","")</f>
        <v/>
      </c>
      <c r="D48" s="20" t="str">
        <f aca="false">IF(D44&gt;=$C$14,"YES","")</f>
        <v/>
      </c>
      <c r="E48" s="20" t="str">
        <f aca="false">IF(E44&gt;=$C$14,"YES","")</f>
        <v/>
      </c>
      <c r="F48" s="20" t="str">
        <f aca="false">IF(F44&gt;=$C$14,"YES","")</f>
        <v>YES</v>
      </c>
      <c r="G48" s="20" t="str">
        <f aca="false">IF(G44&gt;=$C$14,"YES","")</f>
        <v>YES</v>
      </c>
      <c r="H48" s="20" t="str">
        <f aca="false">IF(H44&gt;=$C$14,"YES","")</f>
        <v>YES</v>
      </c>
      <c r="I48" s="20" t="str">
        <f aca="false">IF(I44&gt;=$C$14,"YES","")</f>
        <v>YES</v>
      </c>
      <c r="J48" s="20" t="str">
        <f aca="false">IF(J44&gt;=$C$14,"YES","")</f>
        <v>YES</v>
      </c>
      <c r="K48" s="20" t="str">
        <f aca="false">IF(K44&gt;=$C$14,"YES","")</f>
        <v>YES</v>
      </c>
      <c r="L48" s="20" t="str">
        <f aca="false">IF(L44&gt;=$C$14,"YES","")</f>
        <v>YES</v>
      </c>
    </row>
    <row r="49" customFormat="false" ht="15" hidden="false" customHeight="false" outlineLevel="0" collapsed="false">
      <c r="B49" s="5" t="s">
        <v>53</v>
      </c>
      <c r="C49" s="20" t="str">
        <f aca="false">IF(C43&gt;=$C$14,"YES","")</f>
        <v/>
      </c>
      <c r="D49" s="20" t="str">
        <f aca="false">IF(D43&gt;=$C$14,"YES","")</f>
        <v/>
      </c>
      <c r="E49" s="20" t="str">
        <f aca="false">IF(E43&gt;=$C$14,"YES","")</f>
        <v/>
      </c>
      <c r="F49" s="20" t="str">
        <f aca="false">IF(F43&gt;=$C$14,"YES","")</f>
        <v/>
      </c>
      <c r="G49" s="20" t="str">
        <f aca="false">IF(G43&gt;=$C$14,"YES","")</f>
        <v/>
      </c>
      <c r="H49" s="20" t="str">
        <f aca="false">IF(H43&gt;=$C$14,"YES","")</f>
        <v/>
      </c>
      <c r="I49" s="20" t="str">
        <f aca="false">IF(I43&gt;=$C$14,"YES","")</f>
        <v/>
      </c>
      <c r="J49" s="20" t="str">
        <f aca="false">IF(J43&gt;=$C$14,"YES","")</f>
        <v>YES</v>
      </c>
      <c r="K49" s="20" t="str">
        <f aca="false">IF(K43&gt;=$C$14,"YES","")</f>
        <v>YES</v>
      </c>
      <c r="L49" s="20" t="str">
        <f aca="false">IF(L43&gt;=$C$14,"YES","")</f>
        <v>YES</v>
      </c>
    </row>
    <row r="50" customFormat="false" ht="15" hidden="false" customHeight="false" outlineLevel="0" collapsed="false">
      <c r="B50" s="5" t="s">
        <v>54</v>
      </c>
      <c r="C50" s="20" t="str">
        <f aca="false">IF(C44&gt;=$C$15,"YES","")</f>
        <v/>
      </c>
      <c r="D50" s="20" t="str">
        <f aca="false">IF(D44&gt;=$C$15,"YES","")</f>
        <v/>
      </c>
      <c r="E50" s="20" t="str">
        <f aca="false">IF(E44&gt;=$C$15,"YES","")</f>
        <v/>
      </c>
      <c r="F50" s="20" t="str">
        <f aca="false">IF(F44&gt;=$C$15,"YES","")</f>
        <v/>
      </c>
      <c r="G50" s="20" t="str">
        <f aca="false">IF(G44&gt;=$C$15,"YES","")</f>
        <v>YES</v>
      </c>
      <c r="H50" s="20" t="str">
        <f aca="false">IF(H44&gt;=$C$15,"YES","")</f>
        <v>YES</v>
      </c>
      <c r="I50" s="20" t="str">
        <f aca="false">IF(I44&gt;=$C$15,"YES","")</f>
        <v>YES</v>
      </c>
      <c r="J50" s="20" t="str">
        <f aca="false">IF(J44&gt;=$C$15,"YES","")</f>
        <v>YES</v>
      </c>
      <c r="K50" s="20" t="str">
        <f aca="false">IF(K44&gt;=$C$15,"YES","")</f>
        <v>YES</v>
      </c>
      <c r="L50" s="20" t="str">
        <f aca="false">IF(L44&gt;=$C$15,"YES","")</f>
        <v>YES</v>
      </c>
    </row>
    <row r="51" customFormat="false" ht="15" hidden="false" customHeight="false" outlineLevel="0" collapsed="false">
      <c r="B51" s="5" t="s">
        <v>55</v>
      </c>
      <c r="C51" s="20" t="str">
        <f aca="false">IF(C43&gt;=$C$15,"YES","")</f>
        <v/>
      </c>
      <c r="D51" s="20" t="str">
        <f aca="false">IF(D43&gt;=$C$15,"YES","")</f>
        <v/>
      </c>
      <c r="E51" s="20" t="str">
        <f aca="false">IF(E43&gt;=$C$15,"YES","")</f>
        <v/>
      </c>
      <c r="F51" s="20" t="str">
        <f aca="false">IF(F43&gt;=$C$15,"YES","")</f>
        <v/>
      </c>
      <c r="G51" s="20" t="str">
        <f aca="false">IF(G43&gt;=$C$15,"YES","")</f>
        <v/>
      </c>
      <c r="H51" s="20" t="str">
        <f aca="false">IF(H43&gt;=$C$15,"YES","")</f>
        <v/>
      </c>
      <c r="I51" s="20" t="str">
        <f aca="false">IF(I43&gt;=$C$15,"YES","")</f>
        <v/>
      </c>
      <c r="J51" s="20" t="str">
        <f aca="false">IF(J43&gt;=$C$15,"YES","")</f>
        <v/>
      </c>
      <c r="K51" s="20" t="str">
        <f aca="false">IF(K43&gt;=$C$15,"YES","")</f>
        <v>YES</v>
      </c>
      <c r="L51" s="20" t="str">
        <f aca="false">IF(L43&gt;=$C$15,"YES","")</f>
        <v>YES</v>
      </c>
    </row>
    <row r="53" customFormat="false" ht="15" hidden="false" customHeight="false" outlineLevel="0" collapsed="false">
      <c r="B53" s="2" t="s">
        <v>56</v>
      </c>
    </row>
    <row r="54" customFormat="false" ht="15" hidden="false" customHeight="false" outlineLevel="0" collapsed="false">
      <c r="B54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7.35" hidden="false" customHeight="false" outlineLevel="0" collapsed="false">
      <c r="B1" s="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2026-06-23T09:40:07Z</dcterms:created>
  <dc:creator>openpyxl</dc:creator>
  <dc:description/>
  <dc:language>en-US</dc:language>
  <cp:lastModifiedBy/>
  <dcterms:modified xsi:type="dcterms:W3CDTF">2026-06-23T09:40:10Z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